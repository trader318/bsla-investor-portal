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_Summary" sheetId="1" state="visible" r:id="rId1"/>
    <sheet xmlns:r="http://schemas.openxmlformats.org/officeDocument/2006/relationships" name="Assumptions" sheetId="2" state="visible" r:id="rId2"/>
    <sheet xmlns:r="http://schemas.openxmlformats.org/officeDocument/2006/relationships" name="Land_Economics" sheetId="3" state="visible" r:id="rId3"/>
    <sheet xmlns:r="http://schemas.openxmlformats.org/officeDocument/2006/relationships" name="Portfolio_Summary" sheetId="4" state="visible" r:id="rId4"/>
    <sheet xmlns:r="http://schemas.openxmlformats.org/officeDocument/2006/relationships" name="Waterfall" sheetId="5" state="visible" r:id="rId5"/>
    <sheet xmlns:r="http://schemas.openxmlformats.org/officeDocument/2006/relationships" name="Equity_Conversion" sheetId="6" state="visible" r:id="rId6"/>
    <sheet xmlns:r="http://schemas.openxmlformats.org/officeDocument/2006/relationships" name="EPC_Upside" sheetId="7" state="visible" r:id="rId7"/>
    <sheet xmlns:r="http://schemas.openxmlformats.org/officeDocument/2006/relationships" name="Valuation_Sensitivity" sheetId="8" state="visible" r:id="rId8"/>
    <sheet xmlns:r="http://schemas.openxmlformats.org/officeDocument/2006/relationships" name="Forward_Looking" sheetId="9" state="visible" r:id="rId9"/>
  </sheets>
  <definedNames/>
  <calcPr calcId="124519" fullCalcOnLoad="1"/>
</workbook>
</file>

<file path=xl/styles.xml><?xml version="1.0" encoding="utf-8"?>
<styleSheet xmlns="http://schemas.openxmlformats.org/spreadsheetml/2006/main">
  <numFmts count="3">
    <numFmt numFmtId="164" formatCode="&quot;$&quot;#,##0"/>
    <numFmt numFmtId="165" formatCode="0.00x"/>
    <numFmt numFmtId="166" formatCode="&quot;$&quot;#,##0.00"/>
  </numFmts>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10" fontId="0" fillId="0" borderId="0" pivotButton="0" quotePrefix="0" xfId="0"/>
    <xf numFmtId="4" fontId="0" fillId="0" borderId="0" pivotButton="0" quotePrefix="0" xfId="0"/>
    <xf numFmtId="164" fontId="0" fillId="0" borderId="0" pivotButton="0" quotePrefix="0" xfId="0"/>
    <xf numFmtId="0" fontId="3" fillId="2" borderId="0" applyAlignment="1" pivotButton="0" quotePrefix="0" xfId="0">
      <alignment horizontal="center" vertical="center"/>
    </xf>
    <xf numFmtId="3"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Investor Cash Return Timeline (Base Case – 120% Cap)</a:t>
            </a:r>
          </a:p>
        </rich>
      </tx>
    </title>
    <plotArea>
      <lineChart>
        <grouping val="standard"/>
        <ser>
          <idx val="0"/>
          <order val="0"/>
          <tx>
            <strRef>
              <f>'Waterfall'!C1</f>
            </strRef>
          </tx>
          <spPr>
            <a:ln xmlns:a="http://schemas.openxmlformats.org/drawingml/2006/main">
              <a:prstDash val="solid"/>
            </a:ln>
          </spPr>
          <marker>
            <symbol val="none"/>
            <spPr>
              <a:ln xmlns:a="http://schemas.openxmlformats.org/drawingml/2006/main">
                <a:prstDash val="solid"/>
              </a:ln>
            </spPr>
          </marker>
          <cat>
            <numRef>
              <f>'Waterfall'!$A$2:$A$8</f>
            </numRef>
          </cat>
          <val>
            <numRef>
              <f>'Waterfall'!$C$2:$C$8</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Cash Returned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Big Star Land Acquisition – Assumptions Summary (PPM Aligned)</t>
        </is>
      </c>
    </row>
    <row r="2">
      <c r="A2" t="inlineStr">
        <is>
          <t>Total Capital Raised</t>
        </is>
      </c>
      <c r="B2">
        <f>Assumptions!B4</f>
        <v/>
      </c>
    </row>
    <row r="3">
      <c r="A3" t="inlineStr">
        <is>
          <t>Land Acquisition</t>
        </is>
      </c>
    </row>
    <row r="4">
      <c r="A4" t="inlineStr">
        <is>
          <t>Average Purchase Price per Parcel</t>
        </is>
      </c>
      <c r="B4">
        <f>Assumptions!B12</f>
        <v/>
      </c>
    </row>
    <row r="5">
      <c r="A5" t="inlineStr">
        <is>
          <t>Total Parcels</t>
        </is>
      </c>
      <c r="B5">
        <f>Assumptions!B11</f>
        <v/>
      </c>
    </row>
    <row r="7">
      <c r="A7" t="inlineStr">
        <is>
          <t>Exit Pricing</t>
        </is>
      </c>
    </row>
    <row r="8">
      <c r="A8" t="inlineStr">
        <is>
          <t>Conservative Exit Price per MW</t>
        </is>
      </c>
      <c r="B8">
        <f>Assumptions!B14</f>
        <v/>
      </c>
    </row>
    <row r="9">
      <c r="A9" t="inlineStr">
        <is>
          <t>Base Case Exit Price per MW</t>
        </is>
      </c>
      <c r="B9">
        <f>Assumptions!B23</f>
        <v/>
      </c>
    </row>
    <row r="11">
      <c r="A11" t="inlineStr">
        <is>
          <t>Costs</t>
        </is>
      </c>
    </row>
    <row r="12">
      <c r="A12" t="inlineStr">
        <is>
          <t>Power Study Cost per Parcel</t>
        </is>
      </c>
      <c r="B12">
        <f>Assumptions!B15</f>
        <v/>
      </c>
    </row>
    <row r="13">
      <c r="A13" t="inlineStr">
        <is>
          <t>Closing Costs (%)</t>
        </is>
      </c>
      <c r="B13">
        <f>Assumptions!B17</f>
        <v/>
      </c>
    </row>
    <row r="15">
      <c r="A15" t="inlineStr">
        <is>
          <t>EPC + Equipment Upside</t>
        </is>
      </c>
    </row>
    <row r="16">
      <c r="A16" t="inlineStr">
        <is>
          <t>Revenue per MW</t>
        </is>
      </c>
      <c r="B16">
        <f>Assumptions!B31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44" customWidth="1" min="1" max="1"/>
    <col width="22" customWidth="1" min="2" max="2"/>
    <col width="3" customWidth="1" min="3" max="3"/>
    <col width="3" customWidth="1" min="4" max="4"/>
  </cols>
  <sheetData>
    <row r="1">
      <c r="A1" s="1" t="inlineStr">
        <is>
          <t>Big Star Land Acquisition – Model Inputs</t>
        </is>
      </c>
    </row>
    <row r="2"/>
    <row r="3">
      <c r="A3" s="2" t="inlineStr">
        <is>
          <t>FUND-LEVEL INPUTS</t>
        </is>
      </c>
    </row>
    <row r="4">
      <c r="A4" t="inlineStr">
        <is>
          <t>Total Capital Raised</t>
        </is>
      </c>
      <c r="B4" s="5" t="n">
        <v>7500000</v>
      </c>
    </row>
    <row r="5">
      <c r="A5" t="inlineStr">
        <is>
          <t>Number of Parcels</t>
        </is>
      </c>
      <c r="B5" s="7" t="n">
        <v>4</v>
      </c>
    </row>
    <row r="6">
      <c r="A6" t="inlineStr">
        <is>
          <t>Investor Share of Net Proceeds</t>
        </is>
      </c>
      <c r="B6" s="3" t="n">
        <v>0.25</v>
      </c>
    </row>
    <row r="7">
      <c r="A7" t="inlineStr">
        <is>
          <t>Cash Return Cap</t>
        </is>
      </c>
      <c r="B7" s="3" t="n">
        <v>1.2</v>
      </c>
    </row>
    <row r="8">
      <c r="A8" t="inlineStr">
        <is>
          <t>Conversion Price per Share</t>
        </is>
      </c>
      <c r="B8" s="3" t="n">
        <v>1.5</v>
      </c>
    </row>
    <row r="9">
      <c r="A9" t="inlineStr">
        <is>
          <t>Shares Outstanding (fully diluted)</t>
        </is>
      </c>
      <c r="B9" s="7" t="n">
        <v>21000000</v>
      </c>
    </row>
    <row r="11">
      <c r="A11" s="2" t="inlineStr">
        <is>
          <t>CONSERVATIVE CASE INPUTS</t>
        </is>
      </c>
    </row>
    <row r="12">
      <c r="A12" t="inlineStr">
        <is>
          <t>Purchase Price per Parcel</t>
        </is>
      </c>
      <c r="B12" s="5" t="n">
        <v>1000000</v>
      </c>
    </row>
    <row r="13">
      <c r="A13" t="inlineStr">
        <is>
          <t>MW Capacity per Parcel</t>
        </is>
      </c>
      <c r="B13" s="7" t="n">
        <v>40</v>
      </c>
    </row>
    <row r="14">
      <c r="A14" t="inlineStr">
        <is>
          <t>Exit Price per MW</t>
        </is>
      </c>
      <c r="B14" s="5" t="n">
        <v>200000</v>
      </c>
    </row>
    <row r="15">
      <c r="A15" t="inlineStr">
        <is>
          <t>Power Study Cost per Parcel</t>
        </is>
      </c>
      <c r="B15" s="5" t="n">
        <v>50000</v>
      </c>
    </row>
    <row r="16">
      <c r="A16" t="inlineStr">
        <is>
          <t>Legal / Diligence per Parcel</t>
        </is>
      </c>
      <c r="B16" s="5" t="n">
        <v>50000</v>
      </c>
    </row>
    <row r="17">
      <c r="A17" t="inlineStr">
        <is>
          <t>Closing Cost % of Purchase</t>
        </is>
      </c>
      <c r="B17" s="3" t="n">
        <v>0.05</v>
      </c>
    </row>
    <row r="20">
      <c r="A20" s="2" t="inlineStr">
        <is>
          <t>BASE CASE INPUTS</t>
        </is>
      </c>
    </row>
    <row r="21">
      <c r="A21" t="inlineStr">
        <is>
          <t>Purchase Price per Parcel</t>
        </is>
      </c>
      <c r="B21" s="5" t="n">
        <v>1000000</v>
      </c>
    </row>
    <row r="22">
      <c r="A22" t="inlineStr">
        <is>
          <t>MW Capacity per Parcel</t>
        </is>
      </c>
      <c r="B22" s="7" t="n">
        <v>50</v>
      </c>
    </row>
    <row r="23">
      <c r="A23" t="inlineStr">
        <is>
          <t>Exit Price per MW</t>
        </is>
      </c>
      <c r="B23" s="5" t="n">
        <v>350000</v>
      </c>
    </row>
    <row r="24">
      <c r="A24" t="inlineStr">
        <is>
          <t>Power Study Cost per Parcel</t>
        </is>
      </c>
      <c r="B24" s="5" t="n">
        <v>50000</v>
      </c>
    </row>
    <row r="25">
      <c r="A25" t="inlineStr">
        <is>
          <t>Legal / Diligence per Parcel</t>
        </is>
      </c>
      <c r="B25" s="5" t="n">
        <v>50000</v>
      </c>
    </row>
    <row r="26">
      <c r="A26" t="inlineStr">
        <is>
          <t>Closing Cost % of Purchase</t>
        </is>
      </c>
      <c r="B26" s="3" t="n">
        <v>0.05</v>
      </c>
    </row>
    <row r="29">
      <c r="A29" s="2" t="inlineStr">
        <is>
          <t>VALUATION INPUTS (ILLUSTRATIVE)</t>
        </is>
      </c>
    </row>
    <row r="30">
      <c r="A30" t="inlineStr">
        <is>
          <t>Big Star Economic Stake (Land Only)</t>
        </is>
      </c>
      <c r="B30" s="3" t="n">
        <v>0.51</v>
      </c>
    </row>
    <row r="31">
      <c r="A31" t="inlineStr">
        <is>
          <t>EPC + Equipment Revenue per MW</t>
        </is>
      </c>
      <c r="B31" s="5" t="n">
        <v>275000</v>
      </c>
    </row>
    <row r="32">
      <c r="A32" t="inlineStr">
        <is>
          <t>EPC Attach Rate – Low</t>
        </is>
      </c>
      <c r="B32" s="3" t="n">
        <v>0.25</v>
      </c>
    </row>
    <row r="33">
      <c r="A33" t="inlineStr">
        <is>
          <t>EPC Attach Rate – Base</t>
        </is>
      </c>
      <c r="B33" s="3" t="n">
        <v>0.5</v>
      </c>
    </row>
    <row r="34">
      <c r="A34" t="inlineStr">
        <is>
          <t>EPC Attach Rate – High</t>
        </is>
      </c>
      <c r="B34" s="3" t="n">
        <v>0.75</v>
      </c>
    </row>
    <row r="35">
      <c r="A35" t="inlineStr">
        <is>
          <t>Net Margin on Land Proceeds (illustrative)</t>
        </is>
      </c>
      <c r="B35" s="3" t="n">
        <v>0.25</v>
      </c>
    </row>
    <row r="36">
      <c r="A36" t="inlineStr">
        <is>
          <t>Net Margin on EPC Revenue (illustrative)</t>
        </is>
      </c>
      <c r="B36" s="3" t="n">
        <v>0.25</v>
      </c>
    </row>
    <row r="37">
      <c r="A37" t="inlineStr">
        <is>
          <t>P/E Multiple – Low</t>
        </is>
      </c>
      <c r="B37" s="4" t="n">
        <v>8</v>
      </c>
    </row>
    <row r="38">
      <c r="A38" t="inlineStr">
        <is>
          <t>P/E Multiple – Base</t>
        </is>
      </c>
      <c r="B38" s="4" t="n">
        <v>10</v>
      </c>
    </row>
    <row r="39">
      <c r="A39" t="inlineStr">
        <is>
          <t>P/E Multiple – High</t>
        </is>
      </c>
      <c r="B39" s="4" t="n">
        <v>12</v>
      </c>
    </row>
  </sheetData>
  <sheetProtection selectLockedCells="0" selectUnlockedCells="0" sheet="1" objects="0" insertRows="1" insertHyperlinks="1" autoFilter="1" scenarios="0" formatColumns="1" deleteColumns="1" insertColumns="1" pivotTables="1" deleteRows="1" formatCells="1" formatRows="1" sort="1"/>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16" customWidth="1" min="1" max="1"/>
    <col width="16" customWidth="1" min="2" max="2"/>
    <col width="12" customWidth="1" min="3" max="3"/>
    <col width="16" customWidth="1" min="4" max="4"/>
    <col width="14" customWidth="1" min="5" max="5"/>
    <col width="14" customWidth="1" min="6" max="6"/>
    <col width="10" customWidth="1" min="7" max="7"/>
    <col width="12" customWidth="1" min="8" max="8"/>
    <col width="16" customWidth="1" min="9" max="9"/>
    <col width="14" customWidth="1" min="10" max="10"/>
  </cols>
  <sheetData>
    <row r="1">
      <c r="A1" s="6" t="inlineStr">
        <is>
          <t>Scenario</t>
        </is>
      </c>
      <c r="B1" s="6" t="inlineStr">
        <is>
          <t>Purchase Price</t>
        </is>
      </c>
      <c r="C1" s="6" t="inlineStr">
        <is>
          <t>Power Study</t>
        </is>
      </c>
      <c r="D1" s="6" t="inlineStr">
        <is>
          <t>Legal/Diligence</t>
        </is>
      </c>
      <c r="E1" s="6" t="inlineStr">
        <is>
          <t>Closing Costs</t>
        </is>
      </c>
      <c r="F1" s="6" t="inlineStr">
        <is>
          <t>Total Cost</t>
        </is>
      </c>
      <c r="G1" s="6" t="inlineStr">
        <is>
          <t>MW</t>
        </is>
      </c>
      <c r="H1" s="6" t="inlineStr">
        <is>
          <t>Exit $/MW</t>
        </is>
      </c>
      <c r="I1" s="6" t="inlineStr">
        <is>
          <t>Gross Exit Value</t>
        </is>
      </c>
      <c r="J1" s="6" t="inlineStr">
        <is>
          <t>Net Proceeds</t>
        </is>
      </c>
    </row>
    <row r="2">
      <c r="A2" t="inlineStr">
        <is>
          <t>Conservative</t>
        </is>
      </c>
      <c r="B2" s="5">
        <f>Assumptions!$B$12</f>
        <v/>
      </c>
      <c r="C2" s="5">
        <f>Assumptions!$B$15</f>
        <v/>
      </c>
      <c r="D2" s="5">
        <f>Assumptions!$B$16</f>
        <v/>
      </c>
      <c r="E2" s="5">
        <f>Assumptions!$B$12*Assumptions!$B$17</f>
        <v/>
      </c>
      <c r="F2" s="5">
        <f>SUM(B2:E2)</f>
        <v/>
      </c>
      <c r="G2" s="7">
        <f>Assumptions!$B$13</f>
        <v/>
      </c>
      <c r="H2" s="5">
        <f>Assumptions!$B$14</f>
        <v/>
      </c>
      <c r="I2" s="5">
        <f>G2*H2</f>
        <v/>
      </c>
      <c r="J2" s="5">
        <f>I2-F2</f>
        <v/>
      </c>
    </row>
    <row r="3">
      <c r="A3" t="inlineStr">
        <is>
          <t>Base</t>
        </is>
      </c>
      <c r="B3" s="5">
        <f>Assumptions!$B$21</f>
        <v/>
      </c>
      <c r="C3" s="5">
        <f>Assumptions!$B$24</f>
        <v/>
      </c>
      <c r="D3" s="5">
        <f>Assumptions!$B$25</f>
        <v/>
      </c>
      <c r="E3" s="5">
        <f>Assumptions!$B$21*Assumptions!$B$26</f>
        <v/>
      </c>
      <c r="F3" s="5">
        <f>SUM(B3:E3)</f>
        <v/>
      </c>
      <c r="G3" s="7">
        <f>Assumptions!$B$22</f>
        <v/>
      </c>
      <c r="H3" s="5">
        <f>Assumptions!$B$23</f>
        <v/>
      </c>
      <c r="I3" s="5">
        <f>G3*H3</f>
        <v/>
      </c>
      <c r="J3" s="5">
        <f>I3-F3</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6" customWidth="1" min="1" max="1"/>
    <col width="18" customWidth="1" min="2" max="2"/>
    <col width="10" customWidth="1" min="3" max="3"/>
    <col width="18" customWidth="1" min="4" max="4"/>
    <col width="18" customWidth="1" min="5" max="5"/>
    <col width="18" customWidth="1" min="6" max="6"/>
    <col width="14" customWidth="1" min="7" max="7"/>
  </cols>
  <sheetData>
    <row r="1">
      <c r="A1" s="6" t="inlineStr">
        <is>
          <t>Scenario</t>
        </is>
      </c>
      <c r="B1" s="6" t="inlineStr">
        <is>
          <t>Net Proceeds / Parcel</t>
        </is>
      </c>
      <c r="C1" s="6" t="inlineStr">
        <is>
          <t>Parcels</t>
        </is>
      </c>
      <c r="D1" s="6" t="inlineStr">
        <is>
          <t>Total Net Proceeds</t>
        </is>
      </c>
      <c r="E1" s="6" t="inlineStr">
        <is>
          <t>Investor Share (25%)</t>
        </is>
      </c>
      <c r="F1" s="6" t="inlineStr">
        <is>
          <t>Cash Required (120%)</t>
        </is>
      </c>
      <c r="G1" s="6" t="inlineStr">
        <is>
          <t>Coverage Ratio</t>
        </is>
      </c>
    </row>
    <row r="2">
      <c r="A2" t="inlineStr">
        <is>
          <t>Conservative</t>
        </is>
      </c>
      <c r="B2" s="5">
        <f>Land_Economics!$J$2</f>
        <v/>
      </c>
      <c r="C2">
        <f>Assumptions!$B$5</f>
        <v/>
      </c>
      <c r="D2" s="5">
        <f>B2*C2</f>
        <v/>
      </c>
      <c r="E2" s="5">
        <f>D2*Assumptions!$B$6</f>
        <v/>
      </c>
      <c r="F2" s="5">
        <f>Assumptions!$B$4*Assumptions!$B$7</f>
        <v/>
      </c>
      <c r="G2" s="8">
        <f>E2/F2</f>
        <v/>
      </c>
    </row>
    <row r="3">
      <c r="A3" t="inlineStr">
        <is>
          <t>Base</t>
        </is>
      </c>
      <c r="B3" s="5">
        <f>Land_Economics!$J$3</f>
        <v/>
      </c>
      <c r="C3">
        <f>Assumptions!$B$5</f>
        <v/>
      </c>
      <c r="D3" s="5">
        <f>B3*C3</f>
        <v/>
      </c>
      <c r="E3" s="5">
        <f>D3*Assumptions!$B$6</f>
        <v/>
      </c>
      <c r="F3" s="5">
        <f>Assumptions!$B$4*Assumptions!$B$7</f>
        <v/>
      </c>
      <c r="G3" s="8">
        <f>E3/F3</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24" customWidth="1" min="2" max="2"/>
    <col width="22" customWidth="1" min="3" max="3"/>
  </cols>
  <sheetData>
    <row r="1">
      <c r="A1" s="6" t="inlineStr">
        <is>
          <t>Month</t>
        </is>
      </c>
      <c r="B1" s="6" t="inlineStr">
        <is>
          <t>Investor Distribution (Base)</t>
        </is>
      </c>
      <c r="C1" s="6" t="inlineStr">
        <is>
          <t>Cumulative Returned</t>
        </is>
      </c>
    </row>
    <row r="2">
      <c r="A2" t="n">
        <v>0</v>
      </c>
      <c r="B2" s="5" t="n">
        <v>0</v>
      </c>
      <c r="C2" s="5">
        <f>SUM($B$2:B2)</f>
        <v/>
      </c>
    </row>
    <row r="3">
      <c r="A3" t="n">
        <v>1</v>
      </c>
      <c r="B3" s="5" t="n">
        <v>0</v>
      </c>
      <c r="C3" s="5">
        <f>SUM($B$2:B3)</f>
        <v/>
      </c>
    </row>
    <row r="4">
      <c r="A4" t="n">
        <v>2</v>
      </c>
      <c r="B4" s="5" t="n">
        <v>0</v>
      </c>
      <c r="C4" s="5">
        <f>SUM($B$2:B4)</f>
        <v/>
      </c>
    </row>
    <row r="5">
      <c r="A5" t="n">
        <v>3</v>
      </c>
      <c r="B5" s="5">
        <f>MIN((Assumptions!$B$4*Assumptions!$B$7)-IFERROR(C4,0), Land_Economics!$J$3*Assumptions!$B$6)</f>
        <v/>
      </c>
      <c r="C5" s="5">
        <f>SUM($B$2:B5)</f>
        <v/>
      </c>
    </row>
    <row r="6">
      <c r="A6" t="n">
        <v>4</v>
      </c>
      <c r="B6" s="5">
        <f>MIN((Assumptions!$B$4*Assumptions!$B$7)-IFERROR(C5,0), Land_Economics!$J$3*Assumptions!$B$6)</f>
        <v/>
      </c>
      <c r="C6" s="5">
        <f>SUM($B$2:B6)</f>
        <v/>
      </c>
    </row>
    <row r="7">
      <c r="A7" t="n">
        <v>5</v>
      </c>
      <c r="B7" s="5">
        <f>MIN((Assumptions!$B$4*Assumptions!$B$7)-IFERROR(C6,0), Land_Economics!$J$3*Assumptions!$B$6)</f>
        <v/>
      </c>
      <c r="C7" s="5">
        <f>SUM($B$2:B7)</f>
        <v/>
      </c>
    </row>
    <row r="8">
      <c r="A8" t="n">
        <v>6</v>
      </c>
      <c r="B8" s="5">
        <f>MIN((Assumptions!$B$4*Assumptions!$B$7)-IFERROR(C7,0), Land_Economics!$J$3*Assumptions!$B$6)</f>
        <v/>
      </c>
      <c r="C8" s="5">
        <f>SUM($B$2:B8)</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 customWidth="1" min="1" max="1"/>
    <col width="20" customWidth="1" min="2" max="2"/>
    <col width="20" customWidth="1" min="3" max="3"/>
  </cols>
  <sheetData>
    <row r="1">
      <c r="A1" s="6" t="inlineStr">
        <is>
          <t>Investment</t>
        </is>
      </c>
      <c r="B1" s="6" t="inlineStr">
        <is>
          <t>Cash Returned (120%)</t>
        </is>
      </c>
      <c r="C1" s="6" t="inlineStr">
        <is>
          <t>Shares Issued (@$1.50)</t>
        </is>
      </c>
    </row>
    <row r="2">
      <c r="A2" s="5" t="n">
        <v>100000</v>
      </c>
      <c r="B2" s="5">
        <f>A2*Assumptions!$B$7</f>
        <v/>
      </c>
      <c r="C2" s="7">
        <f>A2/Assumptions!$B$8</f>
        <v/>
      </c>
    </row>
    <row r="3">
      <c r="A3" s="5" t="n">
        <v>250000</v>
      </c>
      <c r="B3" s="5">
        <f>A3*Assumptions!$B$7</f>
        <v/>
      </c>
      <c r="C3" s="7">
        <f>A3/Assumptions!$B$8</f>
        <v/>
      </c>
    </row>
    <row r="4">
      <c r="A4" s="5" t="n">
        <v>500000</v>
      </c>
      <c r="B4" s="5">
        <f>A4*Assumptions!$B$7</f>
        <v/>
      </c>
      <c r="C4" s="7">
        <f>A4/Assumptions!$B$8</f>
        <v/>
      </c>
    </row>
    <row r="5">
      <c r="A5" s="5" t="n">
        <v>1000000</v>
      </c>
      <c r="B5" s="5">
        <f>A5*Assumptions!$B$7</f>
        <v/>
      </c>
      <c r="C5" s="7">
        <f>A5/Assumptions!$B$8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6" customWidth="1" min="1" max="1"/>
    <col width="12" customWidth="1" min="2" max="2"/>
    <col width="10" customWidth="1" min="3" max="3"/>
    <col width="12" customWidth="1" min="4" max="4"/>
    <col width="12" customWidth="1" min="5" max="5"/>
    <col width="26" customWidth="1" min="6" max="6"/>
    <col width="24" customWidth="1" min="7" max="7"/>
  </cols>
  <sheetData>
    <row r="1">
      <c r="A1" s="6" t="inlineStr">
        <is>
          <t>Scenario</t>
        </is>
      </c>
      <c r="B1" s="6" t="inlineStr">
        <is>
          <t>MW / Parcel</t>
        </is>
      </c>
      <c r="C1" s="6" t="inlineStr">
        <is>
          <t>Parcels</t>
        </is>
      </c>
      <c r="D1" s="6" t="inlineStr">
        <is>
          <t>EPC $ / MW</t>
        </is>
      </c>
      <c r="E1" s="6" t="inlineStr">
        <is>
          <t>Attach Rate</t>
        </is>
      </c>
      <c r="F1" s="6" t="inlineStr">
        <is>
          <t>EPC Revenue (Attach-Adjusted)</t>
        </is>
      </c>
      <c r="G1" s="6" t="inlineStr">
        <is>
          <t>EPC Revenue (100% Attach)</t>
        </is>
      </c>
    </row>
    <row r="2">
      <c r="A2" t="inlineStr">
        <is>
          <t>Conservative</t>
        </is>
      </c>
      <c r="B2" s="7">
        <f>Assumptions!$B$13</f>
        <v/>
      </c>
      <c r="C2" s="7">
        <f>Assumptions!$B$5</f>
        <v/>
      </c>
      <c r="D2" s="5">
        <f>Assumptions!$B$31</f>
        <v/>
      </c>
      <c r="E2" s="3">
        <f>Assumptions!$B$32</f>
        <v/>
      </c>
      <c r="F2" s="5">
        <f>B2*C2*D2*E2</f>
        <v/>
      </c>
      <c r="G2" s="5">
        <f>B2*C2*D2</f>
        <v/>
      </c>
    </row>
    <row r="3">
      <c r="A3" t="inlineStr">
        <is>
          <t>Base</t>
        </is>
      </c>
      <c r="B3" s="7">
        <f>Assumptions!$B$22</f>
        <v/>
      </c>
      <c r="C3" s="7">
        <f>Assumptions!$B$5</f>
        <v/>
      </c>
      <c r="D3" s="5">
        <f>Assumptions!$B$31</f>
        <v/>
      </c>
      <c r="E3" s="3">
        <f>Assumptions!$B$33</f>
        <v/>
      </c>
      <c r="F3" s="5">
        <f>B3*C3*D3*E3</f>
        <v/>
      </c>
      <c r="G3" s="5">
        <f>B3*C3*D3</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18" customWidth="1" min="2" max="2"/>
    <col width="22" customWidth="1" min="3" max="3"/>
    <col width="24" customWidth="1" min="4" max="4"/>
    <col width="30" customWidth="1" min="5" max="5"/>
    <col width="28" customWidth="1" min="6" max="6"/>
    <col width="26" customWidth="1" min="7" max="7"/>
    <col width="18" customWidth="1" min="8" max="8"/>
  </cols>
  <sheetData>
    <row r="1">
      <c r="A1" s="1" t="inlineStr">
        <is>
          <t>Illustrative Valuation Sensitivity (Non-Binding)</t>
        </is>
      </c>
    </row>
    <row r="2">
      <c r="A2" s="6" t="inlineStr">
        <is>
          <t>Scenario</t>
        </is>
      </c>
      <c r="B2" s="6" t="inlineStr">
        <is>
          <t>Total MW (Portfolio)</t>
        </is>
      </c>
      <c r="C2" s="6" t="inlineStr">
        <is>
          <t>Total Net Proceeds (Land)</t>
        </is>
      </c>
      <c r="D2" s="6" t="inlineStr">
        <is>
          <t>Investor Distributions Paid</t>
        </is>
      </c>
      <c r="E2" s="6" t="inlineStr">
        <is>
          <t>Big Star Share of Land Proceeds (51%)</t>
        </is>
      </c>
      <c r="F2" s="6" t="inlineStr">
        <is>
          <t>Big Star EPC + Equipment Rev (100%)</t>
        </is>
      </c>
      <c r="G2" s="6" t="inlineStr">
        <is>
          <t>Illustrative Earnings (Land + EPC)</t>
        </is>
      </c>
      <c r="H2" s="6" t="inlineStr">
        <is>
          <t>Implied Share Price</t>
        </is>
      </c>
    </row>
    <row r="3">
      <c r="A3" t="inlineStr">
        <is>
          <t>Conservative</t>
        </is>
      </c>
      <c r="B3" s="7">
        <f>Assumptions!$B$5*Assumptions!$B$13</f>
        <v/>
      </c>
      <c r="C3" s="5">
        <f>Portfolio_Summary!$D$2</f>
        <v/>
      </c>
      <c r="D3" s="5">
        <f>MIN(C3*Assumptions!$B$6, Assumptions!$B$4*Assumptions!$B$7)</f>
        <v/>
      </c>
      <c r="E3" s="5">
        <f>(C3-D3)*Assumptions!$B$30</f>
        <v/>
      </c>
      <c r="F3" s="5">
        <f>B3*Assumptions!$B$31*Assumptions!$B$32</f>
        <v/>
      </c>
      <c r="G3" s="5">
        <f>E3*Assumptions!$B$35 + F3*Assumptions!$B$36</f>
        <v/>
      </c>
      <c r="H3" s="9">
        <f>(G3*Assumptions!$B$38)/Assumptions!$B$9</f>
        <v/>
      </c>
    </row>
    <row r="4">
      <c r="A4" t="inlineStr">
        <is>
          <t>Base</t>
        </is>
      </c>
      <c r="B4" s="7">
        <f>Assumptions!$B$5*Assumptions!$B$22</f>
        <v/>
      </c>
      <c r="C4" s="5">
        <f>Portfolio_Summary!$D$3</f>
        <v/>
      </c>
      <c r="D4" s="5">
        <f>MIN(C4*Assumptions!$B$6, Assumptions!$B$4*Assumptions!$B$7)</f>
        <v/>
      </c>
      <c r="E4" s="5">
        <f>(C4-D4)*Assumptions!$B$30</f>
        <v/>
      </c>
      <c r="F4" s="5">
        <f>B4*Assumptions!$B$31*Assumptions!$B$33</f>
        <v/>
      </c>
      <c r="G4" s="5">
        <f>E4*Assumptions!$B$35 + F4*Assumptions!$B$36</f>
        <v/>
      </c>
      <c r="H4" s="9">
        <f>(G4*Assumptions!$B$38)/Assumptions!$B$9</f>
        <v/>
      </c>
    </row>
    <row r="6">
      <c r="A6" s="2" t="inlineStr">
        <is>
          <t>Attach Rate &amp; P/E Sensitivity (Base Case – Illustrative)</t>
        </is>
      </c>
    </row>
    <row r="7">
      <c r="A7" s="6" t="inlineStr">
        <is>
          <t>Scenario</t>
        </is>
      </c>
      <c r="B7" s="6" t="inlineStr">
        <is>
          <t>Attach Rate</t>
        </is>
      </c>
      <c r="C7" s="6" t="inlineStr">
        <is>
          <t>P/E</t>
        </is>
      </c>
      <c r="D7" s="6" t="inlineStr">
        <is>
          <t>Implied Share Price (Base)</t>
        </is>
      </c>
    </row>
    <row r="8">
      <c r="A8" t="inlineStr">
        <is>
          <t>Low</t>
        </is>
      </c>
      <c r="B8" s="3">
        <f>Assumptions!$B$32</f>
        <v/>
      </c>
      <c r="C8" s="10">
        <f>Assumptions!$B$37</f>
        <v/>
      </c>
      <c r="D8" s="9">
        <f>((( (Portfolio_Summary!$D$3 - MIN(Portfolio_Summary!$D$3*Assumptions!$B$6, Assumptions!$B$4*Assumptions!$B$7) )*Assumptions!$B$30 )*Assumptions!$B$35) + ((Assumptions!$B$5*Assumptions!$B$22)*Assumptions!$B$31*Assumptions!$B$32*Assumptions!$B$36)) * (C8) / Assumptions!$B$9</f>
        <v/>
      </c>
    </row>
    <row r="9">
      <c r="A9" t="inlineStr">
        <is>
          <t>Base</t>
        </is>
      </c>
      <c r="B9" s="3">
        <f>Assumptions!$B$33</f>
        <v/>
      </c>
      <c r="C9" s="10">
        <f>Assumptions!$B$38</f>
        <v/>
      </c>
      <c r="D9" s="9">
        <f>((( (Portfolio_Summary!$D$3 - MIN(Portfolio_Summary!$D$3*Assumptions!$B$6, Assumptions!$B$4*Assumptions!$B$7) )*Assumptions!$B$30 )*Assumptions!$B$35) + ((Assumptions!$B$5*Assumptions!$B$22)*Assumptions!$B$31*Assumptions!$B$33*Assumptions!$B$36)) * (C9) / Assumptions!$B$9</f>
        <v/>
      </c>
    </row>
    <row r="10">
      <c r="A10" t="inlineStr">
        <is>
          <t>High</t>
        </is>
      </c>
      <c r="B10" s="3">
        <f>Assumptions!$B$34</f>
        <v/>
      </c>
      <c r="C10" s="10">
        <f>Assumptions!$B$39</f>
        <v/>
      </c>
      <c r="D10" s="9">
        <f>((( (Portfolio_Summary!$D$3 - MIN(Portfolio_Summary!$D$3*Assumptions!$B$6, Assumptions!$B$4*Assumptions!$B$7) )*Assumptions!$B$30 )*Assumptions!$B$35) + ((Assumptions!$B$5*Assumptions!$B$22)*Assumptions!$B$31*Assumptions!$B$34*Assumptions!$B$36)) * (C10) / Assumptions!$B$9</f>
        <v/>
      </c>
    </row>
    <row r="12">
      <c r="A12" s="2" t="inlineStr">
        <is>
          <t>Notes</t>
        </is>
      </c>
    </row>
    <row r="13">
      <c r="A13" t="inlineStr">
        <is>
          <t>• Illustrative only. Not a forecast, projection, or promise of performance.</t>
        </is>
      </c>
    </row>
    <row r="14">
      <c r="A14" t="inlineStr">
        <is>
          <t>• Investor distributions modeled as 25% of net proceeds capped at 120% of invested capital.</t>
        </is>
      </c>
    </row>
    <row r="15">
      <c r="A15" t="inlineStr">
        <is>
          <t>• Big Star economic stake applies to LAND sponsor economics only; EPC + equipment revenue is 100% Big Star.</t>
        </is>
      </c>
    </row>
    <row r="16">
      <c r="A16" t="inlineStr">
        <is>
          <t>• Margins, attach rates, and P/E multiples are user-editable in the Assumptions tab.</t>
        </is>
      </c>
    </row>
  </sheetData>
  <mergeCells count="5">
    <mergeCell ref="A15:H15"/>
    <mergeCell ref="A16:H16"/>
    <mergeCell ref="A13:H13"/>
    <mergeCell ref="A14:H14"/>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20" customWidth="1" min="1" max="1"/>
  </cols>
  <sheetData>
    <row r="1">
      <c r="A1" s="1" t="inlineStr">
        <is>
          <t>Forward-Looking Statement</t>
        </is>
      </c>
    </row>
    <row r="3">
      <c r="A3" s="11" t="inlineStr">
        <is>
          <t>Certain statements in this model and accompanying materials constitute “forward-looking statements” within the meaning of applicable securities laws.
Forward-looking statements include, without limitation, statements regarding anticipated transactions, timing of acquisitions and dispositions, expected megawatt capacity, proceeds, EPC and equipment revenue, and illustrative valuation outcomes.
These statements are based on current expectations and assumptions and are subject to risks and uncertainties that could cause actual results to differ materially, including market conditions, buyer demand, permitting and interconnection timelines, utility/co-op approvals, diligence outcomes, execution risk, and general economic factors.
This model is provided for discussion purposes only and does not constitute an offer to sell or a solicitation of an offer to buy any security. Any offering will be made only by means of definitive offering documents, which will contain additional information and risk factors.
No representation or warranty is made as to the accuracy or completeness of the information herein, and the information is subject to change without notice.</t>
        </is>
      </c>
    </row>
    <row r="4"/>
    <row r="5"/>
    <row r="6"/>
    <row r="7"/>
    <row r="8"/>
    <row r="9"/>
    <row r="10"/>
    <row r="11"/>
    <row r="12"/>
    <row r="13"/>
    <row r="14"/>
    <row r="15"/>
    <row r="16"/>
    <row r="17"/>
    <row r="18"/>
    <row r="19"/>
    <row r="20"/>
    <row r="21"/>
    <row r="22"/>
    <row r="23"/>
    <row r="24"/>
    <row r="25"/>
    <row r="26"/>
    <row r="27"/>
    <row r="28"/>
    <row r="29"/>
    <row r="30"/>
  </sheetData>
  <mergeCells count="2">
    <mergeCell ref="A3:H30"/>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2025-12-12T03:22:49Z</dcterms:created>
  <dcterms:modified xmlns:dcterms="http://purl.org/dc/terms/" xmlns:xsi="http://www.w3.org/2001/XMLSchema-instance" xsi:type="dcterms:W3CDTF">2025-12-18T19:00:35Z</dcterms:modified>
</cp:coreProperties>
</file>